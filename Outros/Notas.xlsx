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letronica\PianoCH323V\"/>
    </mc:Choice>
  </mc:AlternateContent>
  <xr:revisionPtr revIDLastSave="0" documentId="13_ncr:1_{4BF08E26-96B6-4C3B-B613-CB50109009A5}" xr6:coauthVersionLast="47" xr6:coauthVersionMax="47" xr10:uidLastSave="{00000000-0000-0000-0000-000000000000}"/>
  <bookViews>
    <workbookView xWindow="28680" yWindow="-120" windowWidth="24240" windowHeight="13140" activeTab="1" xr2:uid="{C3667B8F-161F-48FA-9664-709850B04AAF}"/>
  </bookViews>
  <sheets>
    <sheet name="Notas" sheetId="1" r:id="rId1"/>
    <sheet name="Tec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0" i="2" l="1"/>
  <c r="D9" i="2"/>
  <c r="D8" i="2"/>
  <c r="D7" i="2"/>
  <c r="D6" i="2"/>
  <c r="D5" i="2"/>
  <c r="D4" i="2"/>
  <c r="C11" i="2"/>
  <c r="C10" i="2"/>
  <c r="C9" i="2"/>
  <c r="C8" i="2"/>
  <c r="C7" i="2"/>
  <c r="C6" i="2"/>
  <c r="C5" i="2"/>
  <c r="C4" i="2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</calcChain>
</file>

<file path=xl/sharedStrings.xml><?xml version="1.0" encoding="utf-8"?>
<sst xmlns="http://schemas.openxmlformats.org/spreadsheetml/2006/main" count="17" uniqueCount="17">
  <si>
    <t>CK_INT</t>
  </si>
  <si>
    <t>prescaler</t>
  </si>
  <si>
    <t>ATRLR</t>
  </si>
  <si>
    <t>freq</t>
  </si>
  <si>
    <t>real freq</t>
  </si>
  <si>
    <t>V</t>
  </si>
  <si>
    <t>ADC</t>
  </si>
  <si>
    <t>Limiar</t>
  </si>
  <si>
    <t>Nota</t>
  </si>
  <si>
    <t>Nenhuma</t>
  </si>
  <si>
    <t>Do</t>
  </si>
  <si>
    <t>Re</t>
  </si>
  <si>
    <t>Mi</t>
  </si>
  <si>
    <t>Fa</t>
  </si>
  <si>
    <t>Sol</t>
  </si>
  <si>
    <t>La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</si>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</sst>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C73A-4207-4CF4-A8CE-FF673E3F8DE0}">
  <dimension ref="A2:F9"/>
  <sheetViews>
    <sheetView workbookViewId="0">
      <selection activeCell="E10" sqref="E10"/>
    </sheetView>
  </sheetViews>
  <sheetFormatPr defaultRowHeight="14.25"/>
  <cols>
    <col min="2" max="2" width="11.5" customWidth="1"/>
    <col min="6" max="6" width="9" style="3"/>
  </cols>
  <sheetData>
    <row r="2" spans="1:6">
      <c r="A2" t="s">
        <v>0</v>
      </c>
      <c r="B2">
        <v>48000000</v>
      </c>
      <c r="D2" s="1" t="s">
        <v>3</v>
      </c>
      <c r="E2" s="1" t="s">
        <v>2</v>
      </c>
      <c r="F2" s="2" t="s">
        <v>4</v>
      </c>
    </row>
    <row r="3" spans="1:6">
      <c r="A3" t="s">
        <v>1</v>
      </c>
      <c r="B3">
        <v>100</v>
      </c>
      <c r="D3">
        <v>523</v>
      </c>
      <c r="E3">
        <f>ROUND($B$2/$B$3/D3,0)</f>
        <v>918</v>
      </c>
      <c r="F3" s="3">
        <f>$B$2/$B$3/E3</f>
        <v>522.87581699346401</v>
      </c>
    </row>
    <row r="4" spans="1:6">
      <c r="D4">
        <v>587</v>
      </c>
      <c r="E4">
        <f t="shared" ref="E4:E9" si="0">ROUND($B$2/$B$3/D4,0)</f>
        <v>818</v>
      </c>
      <c r="F4" s="3">
        <f t="shared" ref="F4:F9" si="1">$B$2/$B$3/E4</f>
        <v>586.79706601466989</v>
      </c>
    </row>
    <row r="5" spans="1:6">
      <c r="D5">
        <v>659</v>
      </c>
      <c r="E5">
        <f t="shared" si="0"/>
        <v>728</v>
      </c>
      <c r="F5" s="3">
        <f t="shared" si="1"/>
        <v>659.34065934065939</v>
      </c>
    </row>
    <row r="6" spans="1:6">
      <c r="D6">
        <v>698</v>
      </c>
      <c r="E6">
        <f t="shared" si="0"/>
        <v>688</v>
      </c>
      <c r="F6" s="3">
        <f t="shared" si="1"/>
        <v>697.67441860465112</v>
      </c>
    </row>
    <row r="7" spans="1:6">
      <c r="D7">
        <v>784</v>
      </c>
      <c r="E7">
        <f t="shared" si="0"/>
        <v>612</v>
      </c>
      <c r="F7" s="3">
        <f t="shared" si="1"/>
        <v>784.31372549019613</v>
      </c>
    </row>
    <row r="8" spans="1:6">
      <c r="D8">
        <v>880</v>
      </c>
      <c r="E8">
        <f t="shared" si="0"/>
        <v>545</v>
      </c>
      <c r="F8" s="3">
        <f t="shared" si="1"/>
        <v>880.73394495412845</v>
      </c>
    </row>
    <row r="9" spans="1:6">
      <c r="D9">
        <v>987</v>
      </c>
      <c r="E9">
        <f t="shared" si="0"/>
        <v>486</v>
      </c>
      <c r="F9" s="3">
        <f t="shared" si="1"/>
        <v>987.65432098765427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D5B9-5C01-4FF7-A87F-00CCF10F3BD4}">
  <dimension ref="A2:D11"/>
  <sheetViews>
    <sheetView tabSelected="1" workbookViewId="0">
      <selection activeCell="D11" sqref="D11"/>
    </sheetView>
  </sheetViews>
  <sheetFormatPr defaultRowHeight="14.25"/>
  <cols>
    <col min="2" max="2" width="9" style="4"/>
    <col min="3" max="4" width="9" style="1"/>
  </cols>
  <sheetData>
    <row r="2" spans="1:4">
      <c r="A2" t="s">
        <v>8</v>
      </c>
      <c r="B2" s="4" t="s">
        <v>5</v>
      </c>
      <c r="C2" s="1" t="s">
        <v>6</v>
      </c>
      <c r="D2" s="1" t="s">
        <v>7</v>
      </c>
    </row>
    <row r="3" spans="1:4">
      <c r="B3" s="4">
        <v>5</v>
      </c>
      <c r="C3" s="1">
        <v>4096</v>
      </c>
    </row>
    <row r="4" spans="1:4">
      <c r="A4" t="s">
        <v>9</v>
      </c>
      <c r="B4" s="4">
        <v>4.7</v>
      </c>
      <c r="C4" s="1">
        <f>ROUND(B4*$C$3/$B$3,0)</f>
        <v>3850</v>
      </c>
      <c r="D4" s="1">
        <f t="shared" ref="D4:D11" si="0">ROUND((C4+C5)/2,0)</f>
        <v>3277</v>
      </c>
    </row>
    <row r="5" spans="1:4">
      <c r="A5" t="s">
        <v>10</v>
      </c>
      <c r="B5" s="4">
        <v>3.3</v>
      </c>
      <c r="C5" s="1">
        <f t="shared" ref="C5:C11" si="1">ROUND(B5*$C$3/$B$3,0)</f>
        <v>2703</v>
      </c>
      <c r="D5" s="1">
        <f t="shared" si="0"/>
        <v>2294</v>
      </c>
    </row>
    <row r="6" spans="1:4">
      <c r="A6" t="s">
        <v>11</v>
      </c>
      <c r="B6" s="4">
        <v>2.2999999999999998</v>
      </c>
      <c r="C6" s="1">
        <f t="shared" si="1"/>
        <v>1884</v>
      </c>
      <c r="D6" s="1">
        <f t="shared" si="0"/>
        <v>1557</v>
      </c>
    </row>
    <row r="7" spans="1:4">
      <c r="A7" t="s">
        <v>12</v>
      </c>
      <c r="B7" s="4">
        <v>1.5</v>
      </c>
      <c r="C7" s="1">
        <f t="shared" si="1"/>
        <v>1229</v>
      </c>
      <c r="D7" s="1">
        <f t="shared" si="0"/>
        <v>1106</v>
      </c>
    </row>
    <row r="8" spans="1:4">
      <c r="A8" t="s">
        <v>13</v>
      </c>
      <c r="B8" s="4">
        <v>1.2</v>
      </c>
      <c r="C8" s="1">
        <f t="shared" si="1"/>
        <v>983</v>
      </c>
      <c r="D8" s="1">
        <f t="shared" si="0"/>
        <v>860</v>
      </c>
    </row>
    <row r="9" spans="1:4">
      <c r="A9" t="s">
        <v>14</v>
      </c>
      <c r="B9" s="4">
        <v>0.9</v>
      </c>
      <c r="C9" s="1">
        <f t="shared" si="1"/>
        <v>737</v>
      </c>
      <c r="D9" s="1">
        <f t="shared" si="0"/>
        <v>574</v>
      </c>
    </row>
    <row r="10" spans="1:4">
      <c r="A10" t="s">
        <v>15</v>
      </c>
      <c r="B10" s="4">
        <v>0.5</v>
      </c>
      <c r="C10" s="1">
        <f t="shared" si="1"/>
        <v>410</v>
      </c>
      <c r="D10" s="1">
        <f t="shared" si="0"/>
        <v>287</v>
      </c>
    </row>
    <row r="11" spans="1:4">
      <c r="A11" t="s">
        <v>16</v>
      </c>
      <c r="B11" s="4">
        <v>0.2</v>
      </c>
      <c r="C11" s="1">
        <f t="shared" si="1"/>
        <v>164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Notas</vt:lpstr>
      <vt:lpstr>Teclas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Quadros</dc:creator>
  <cp:lastModifiedBy>Daniel Quadros</cp:lastModifiedBy>
  <dcterms:created xsi:type="dcterms:W3CDTF">2026-09-25T18:23:29Z</dcterms:created>
  <dcterms:modified xsi:type="dcterms:W3CDTF">2026-09-25T19:11:51Z</dcterms:modified>
</cp:coreProperties>
</file>